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filterPrivacy="1" defaultThemeVersion="124226"/>
  <xr:revisionPtr revIDLastSave="0" documentId="13_ncr:1_{D4790CD5-911F-2040-9703-547DFD8FB12C}" xr6:coauthVersionLast="47" xr6:coauthVersionMax="47" xr10:uidLastSave="{00000000-0000-0000-0000-000000000000}"/>
  <bookViews>
    <workbookView xWindow="240" yWindow="660" windowWidth="19180" windowHeight="16300" activeTab="4" xr2:uid="{00000000-000D-0000-FFFF-FFFF00000000}"/>
  </bookViews>
  <sheets>
    <sheet name="Модуль 1 Задача 1" sheetId="1" r:id="rId1"/>
    <sheet name="Модуль 1 Задача 2" sheetId="2" r:id="rId2"/>
    <sheet name="Модуль 1 Задача 3" sheetId="3" r:id="rId3"/>
    <sheet name="Модуль 2 Задание 1 " sheetId="5" r:id="rId4"/>
    <sheet name="Модуль 2 Задание 2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G6" i="6" s="1"/>
  <c r="G8" i="6"/>
  <c r="C18" i="5"/>
  <c r="C19" i="5"/>
  <c r="C20" i="5"/>
  <c r="C21" i="5"/>
  <c r="C22" i="5"/>
  <c r="C27" i="5" s="1"/>
  <c r="C23" i="5"/>
  <c r="C28" i="5"/>
  <c r="C29" i="5"/>
  <c r="G7" i="6" l="1"/>
  <c r="G9" i="6" s="1"/>
  <c r="C9" i="3"/>
  <c r="C12" i="3" s="1"/>
  <c r="C10" i="3" l="1"/>
  <c r="C11" i="3"/>
  <c r="C13" i="3" s="1"/>
  <c r="G9" i="3"/>
  <c r="G11" i="3" s="1"/>
  <c r="G6" i="3"/>
  <c r="H6" i="2"/>
  <c r="H4" i="2"/>
  <c r="H5" i="2" s="1"/>
  <c r="H7" i="2" s="1"/>
  <c r="K9" i="1"/>
  <c r="J9" i="1"/>
  <c r="I9" i="1"/>
  <c r="K8" i="1"/>
  <c r="K7" i="1"/>
  <c r="J7" i="1"/>
  <c r="I7" i="1"/>
  <c r="C15" i="3" l="1"/>
  <c r="C14" i="3"/>
  <c r="C16" i="3" s="1"/>
  <c r="G10" i="3"/>
  <c r="G12" i="3" s="1"/>
  <c r="G14" i="3" l="1"/>
  <c r="G13" i="3"/>
  <c r="G15" i="3" s="1"/>
</calcChain>
</file>

<file path=xl/sharedStrings.xml><?xml version="1.0" encoding="utf-8"?>
<sst xmlns="http://schemas.openxmlformats.org/spreadsheetml/2006/main" count="124" uniqueCount="101">
  <si>
    <t>Таблица 1 - Исхордные данные</t>
  </si>
  <si>
    <t>критерии</t>
  </si>
  <si>
    <t>расстояние до поставщика, км</t>
  </si>
  <si>
    <t>время разгрузки, час</t>
  </si>
  <si>
    <t>не более 195 км</t>
  </si>
  <si>
    <t>от 195 до 315 км</t>
  </si>
  <si>
    <t>Транспортный тариф, руб</t>
  </si>
  <si>
    <t>Поставщик</t>
  </si>
  <si>
    <t>ООО "Метснаб"</t>
  </si>
  <si>
    <t>ООО "Машпром"</t>
  </si>
  <si>
    <t>ООО "Прорыв"</t>
  </si>
  <si>
    <t>тарифная ставка рабочего, руб./ч</t>
  </si>
  <si>
    <t>Таблица 2 - Расчет</t>
  </si>
  <si>
    <t>Транспортные затарты, руб</t>
  </si>
  <si>
    <t>Суммарные затраты</t>
  </si>
  <si>
    <t>Затраты на разгрузку, руб</t>
  </si>
  <si>
    <t>Критерии</t>
  </si>
  <si>
    <t>Таблица 1- Исходнчые данные</t>
  </si>
  <si>
    <t>Грузооборот склада, т</t>
  </si>
  <si>
    <t>Через участок приемки,%</t>
  </si>
  <si>
    <t>Через приемочную экспедицию, т</t>
  </si>
  <si>
    <t>из приемочной экспедиции на участок приемки, т</t>
  </si>
  <si>
    <t>общий объем грузов чертез участок приемки, т.</t>
  </si>
  <si>
    <t>Количество грузов, напрямую с разгрузки на участок приемки, т.</t>
  </si>
  <si>
    <t>Объем грузов, проходящих напрямую из участка разгрузки на участок хранения, т.</t>
  </si>
  <si>
    <t xml:space="preserve">                   5000 т</t>
  </si>
  <si>
    <t>приемочная экспедиция</t>
  </si>
  <si>
    <t xml:space="preserve">             1900 т</t>
  </si>
  <si>
    <t>участок приемки</t>
  </si>
  <si>
    <t>участок разгрузки (20 000 т)</t>
  </si>
  <si>
    <t>8100 т</t>
  </si>
  <si>
    <t>участок хранения (20 000 т)</t>
  </si>
  <si>
    <t>6900 т</t>
  </si>
  <si>
    <t>10000 т</t>
  </si>
  <si>
    <t>Объем грузов, проходящий напрямую из приемочной экспедиции на участок хранения, т.</t>
  </si>
  <si>
    <t xml:space="preserve"> </t>
  </si>
  <si>
    <t xml:space="preserve">                  3100 т  </t>
  </si>
  <si>
    <t>Показатель</t>
  </si>
  <si>
    <t>Значение</t>
  </si>
  <si>
    <t>1.Потребность, шт.</t>
  </si>
  <si>
    <t>2.Оптимальный размер заказа, шт.</t>
  </si>
  <si>
    <t>3.Время поставки, дн.</t>
  </si>
  <si>
    <t>4.Возможная задержка поставки, дн.</t>
  </si>
  <si>
    <t>5.Ожидаемое дневное потребление, шт./дн.</t>
  </si>
  <si>
    <t>6.Срок использования заказа, дни</t>
  </si>
  <si>
    <t>7.Ожидаемое потребление за время поставки, шт.</t>
  </si>
  <si>
    <t>8.Максимальное потребление за время поставки, шт.</t>
  </si>
  <si>
    <t>9.Гарантийный (страховой) запас, шт.</t>
  </si>
  <si>
    <t>10.Пороговый уровень запаса, шт.</t>
  </si>
  <si>
    <t>11.Максимально желательный запас, шт.</t>
  </si>
  <si>
    <t>12.Срок использования запаса до порогового уровня, дни</t>
  </si>
  <si>
    <t>2.Интервал времени между заказами, дни</t>
  </si>
  <si>
    <t>6.Ожидаемое потребление за время поставки, шт.</t>
  </si>
  <si>
    <t>7.Максимальное потребление за время поставки, шт.</t>
  </si>
  <si>
    <t>8.Гарантийный запас, шт.</t>
  </si>
  <si>
    <t>9. Текущий запас, шт.</t>
  </si>
  <si>
    <t>10.Максимально желательный запас, шт.</t>
  </si>
  <si>
    <t>11. Размер заказа, шт.</t>
  </si>
  <si>
    <t>Таблица 1 - Расчет параметров системы управления запасами с фиксированным размером заказа</t>
  </si>
  <si>
    <t>Таблица 2 - Расчет параметров системы управления запасами с фиксированным интервалом времени между заказами</t>
  </si>
  <si>
    <t>Вывод: Обе системы управления запасами имеют свои особенности. Система с фиксированным размером заказа (90 шт.) предполагает размещение заказа, когда уровень запаса достигает порогового уровня в 453,44 ед., при этом максимальный желательный запас составляет 219,55 ед. Система с фиксированным интервалом времени между заказами (2,78 дня) требует расчета размера заказа каждый раз, чтобы довести запас до максимально желательного уровня в 219,55 ед. Обе системы учитывают гарантийный запас в 129,55 ед. для покрытия возможных задержек поставки.</t>
  </si>
  <si>
    <t>Вывод: Количество грузов, проходящих напрямую из участка разгрузки на участок хранения, составляет 6 900 тонн.</t>
  </si>
  <si>
    <t>Вывод: на основании проведенных расчетов поставщик ООО "Метснаб" предлагает минимальные суммарные затраты в размере 170000 руб. Таким образом, выюор поставщика ООО "Метснаб" явдяется наи более экономически выгодным решением</t>
  </si>
  <si>
    <t>Вывод: наименьшая длительность производственного цикла достигается параллельным способом. Комбинированный способ дает быстрый результат, но уступает параллельному из-за коротких операций.</t>
  </si>
  <si>
    <t>Ткомб.</t>
  </si>
  <si>
    <t>Тпар.</t>
  </si>
  <si>
    <t>Тпосл.</t>
  </si>
  <si>
    <t>Время, мин</t>
  </si>
  <si>
    <t>Способ передачи предметов труда</t>
  </si>
  <si>
    <t>Таблица 4 - Длительность производственного цикла при разных способах передачи
предметов труда</t>
  </si>
  <si>
    <t>Сумма коротких смежных операций</t>
  </si>
  <si>
    <t>Сумма всех операций</t>
  </si>
  <si>
    <t>Шлифовальная</t>
  </si>
  <si>
    <t>Сверловочная</t>
  </si>
  <si>
    <t>Фрезерная</t>
  </si>
  <si>
    <t>Токарная</t>
  </si>
  <si>
    <t>Операция</t>
  </si>
  <si>
    <t xml:space="preserve">Таблица 3 - Расчет времени всех операций </t>
  </si>
  <si>
    <t>Количество рабочих мест, шт</t>
  </si>
  <si>
    <t>Время операции, мин</t>
  </si>
  <si>
    <t>Таблица 2 - Данные технологического процесса</t>
  </si>
  <si>
    <t>p (величина передаточной 
партии), дет.</t>
  </si>
  <si>
    <t>N (величина партии), дет.</t>
  </si>
  <si>
    <t>Таблица 1 - Исходные данные</t>
  </si>
  <si>
    <t>Модуль 2 Задание 1</t>
  </si>
  <si>
    <t xml:space="preserve">Вывод: на основании проведенных расчетов, предприятию выгоднее использовать собственное производство, так как расходы собственного производства на 24000000 рублей меньше расходов при закупке у посредника. Однако суммы оборотных средств недостаточно для запуска собственного производства. </t>
  </si>
  <si>
    <t>Расстояние до склада посредника, км</t>
  </si>
  <si>
    <t>Транспортные расходы на доставку комплектующих от склада посредника в расчете на 1 км пути, руб./ед.</t>
  </si>
  <si>
    <t>Суммарные затраты при закупке у посредника, руб.</t>
  </si>
  <si>
    <t>Стоимость заказа одного комплектующего у посредника, руб.</t>
  </si>
  <si>
    <t>Расходы на доставку от склада посредника, руб.</t>
  </si>
  <si>
    <t>Сумма оборотных средств предприятия, руб.</t>
  </si>
  <si>
    <t xml:space="preserve">Расходы при закупке, руб. </t>
  </si>
  <si>
    <t>Стоимость производства одного комплектующего (с учетом расходов на организацию собственного производства), руб.</t>
  </si>
  <si>
    <t>Расходы при собственном производстве, руб.</t>
  </si>
  <si>
    <t>Количество комплектующих, необходимых для производства одного изделия,  ед.</t>
  </si>
  <si>
    <t>Потребность, ед.</t>
  </si>
  <si>
    <t>Количество необходимых к выпуску изделий согласно заказу, ед.</t>
  </si>
  <si>
    <t xml:space="preserve">Значение </t>
  </si>
  <si>
    <t>Таблица 2 - Расчеты по варианту собственного производства и
варианту закупки комплектующих у посредника</t>
  </si>
  <si>
    <t>Модуль 2 Задание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</si>
</sst>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11</xdr:row>
      <xdr:rowOff>0</xdr:rowOff>
    </xdr:from>
    <xdr:to>
      <xdr:col>6</xdr:col>
      <xdr:colOff>590550</xdr:colOff>
      <xdr:row>18</xdr:row>
      <xdr:rowOff>47625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5019675" y="4762500"/>
          <a:ext cx="9525" cy="13811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990600</xdr:colOff>
      <xdr:row>10</xdr:row>
      <xdr:rowOff>180975</xdr:rowOff>
    </xdr:from>
    <xdr:to>
      <xdr:col>7</xdr:col>
      <xdr:colOff>1019175</xdr:colOff>
      <xdr:row>14</xdr:row>
      <xdr:rowOff>19050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400800" y="5753100"/>
          <a:ext cx="28575" cy="6000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15</xdr:row>
      <xdr:rowOff>9525</xdr:rowOff>
    </xdr:from>
    <xdr:to>
      <xdr:col>7</xdr:col>
      <xdr:colOff>476250</xdr:colOff>
      <xdr:row>18</xdr:row>
      <xdr:rowOff>180975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>
          <a:off x="5648325" y="5534025"/>
          <a:ext cx="457200" cy="7429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733425</xdr:colOff>
      <xdr:row>11</xdr:row>
      <xdr:rowOff>38100</xdr:rowOff>
    </xdr:from>
    <xdr:to>
      <xdr:col>8</xdr:col>
      <xdr:colOff>752475</xdr:colOff>
      <xdr:row>21</xdr:row>
      <xdr:rowOff>28575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8229600" y="4800600"/>
          <a:ext cx="19050" cy="18954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971550</xdr:colOff>
      <xdr:row>15</xdr:row>
      <xdr:rowOff>9525</xdr:rowOff>
    </xdr:from>
    <xdr:to>
      <xdr:col>7</xdr:col>
      <xdr:colOff>981075</xdr:colOff>
      <xdr:row>20</xdr:row>
      <xdr:rowOff>180975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600825" y="5534025"/>
          <a:ext cx="9525" cy="11239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19</xdr:row>
      <xdr:rowOff>19050</xdr:rowOff>
    </xdr:from>
    <xdr:to>
      <xdr:col>6</xdr:col>
      <xdr:colOff>609600</xdr:colOff>
      <xdr:row>21</xdr:row>
      <xdr:rowOff>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H="1">
          <a:off x="4619625" y="7086600"/>
          <a:ext cx="9525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17"/>
  <sheetViews>
    <sheetView workbookViewId="0">
      <selection activeCell="H17" sqref="H17"/>
    </sheetView>
  </sheetViews>
  <sheetFormatPr baseColWidth="10" defaultColWidth="8.83203125" defaultRowHeight="15" x14ac:dyDescent="0.2"/>
  <cols>
    <col min="2" max="2" width="31.5" customWidth="1"/>
    <col min="3" max="3" width="20.1640625" customWidth="1"/>
    <col min="4" max="4" width="18.1640625" customWidth="1"/>
    <col min="5" max="5" width="15.5" customWidth="1"/>
    <col min="6" max="6" width="24.5" customWidth="1"/>
    <col min="7" max="7" width="13.6640625" customWidth="1"/>
    <col min="8" max="8" width="16.5" customWidth="1"/>
    <col min="9" max="9" width="13.5" customWidth="1"/>
    <col min="10" max="10" width="13" customWidth="1"/>
    <col min="11" max="11" width="12.83203125" customWidth="1"/>
  </cols>
  <sheetData>
    <row r="4" spans="2:11" x14ac:dyDescent="0.2">
      <c r="B4" s="13" t="s">
        <v>0</v>
      </c>
      <c r="C4" s="14"/>
      <c r="D4" s="14"/>
      <c r="E4" s="15"/>
      <c r="H4" s="16" t="s">
        <v>12</v>
      </c>
      <c r="I4" s="16"/>
      <c r="J4" s="16"/>
      <c r="K4" s="16"/>
    </row>
    <row r="5" spans="2:11" x14ac:dyDescent="0.2">
      <c r="B5" s="17" t="s">
        <v>1</v>
      </c>
      <c r="C5" s="17" t="s">
        <v>7</v>
      </c>
      <c r="D5" s="17"/>
      <c r="E5" s="17"/>
      <c r="H5" s="16" t="s">
        <v>16</v>
      </c>
      <c r="I5" s="16" t="s">
        <v>7</v>
      </c>
      <c r="J5" s="16"/>
      <c r="K5" s="16"/>
    </row>
    <row r="6" spans="2:11" ht="32" x14ac:dyDescent="0.2">
      <c r="B6" s="17"/>
      <c r="C6" s="4" t="s">
        <v>8</v>
      </c>
      <c r="D6" s="4" t="s">
        <v>9</v>
      </c>
      <c r="E6" s="4" t="s">
        <v>10</v>
      </c>
      <c r="H6" s="16"/>
      <c r="I6" s="6" t="s">
        <v>8</v>
      </c>
      <c r="J6" s="6" t="s">
        <v>9</v>
      </c>
      <c r="K6" s="6" t="s">
        <v>10</v>
      </c>
    </row>
    <row r="7" spans="2:11" ht="32" x14ac:dyDescent="0.2">
      <c r="B7" s="4" t="s">
        <v>2</v>
      </c>
      <c r="C7" s="3">
        <v>200</v>
      </c>
      <c r="D7" s="3">
        <v>300</v>
      </c>
      <c r="E7" s="3">
        <v>250</v>
      </c>
      <c r="H7" s="6" t="s">
        <v>13</v>
      </c>
      <c r="I7" s="7">
        <f>C7*D11</f>
        <v>170000</v>
      </c>
      <c r="J7" s="7">
        <f>D7*D11</f>
        <v>255000</v>
      </c>
      <c r="K7" s="7">
        <f>E7*D11</f>
        <v>212500</v>
      </c>
    </row>
    <row r="8" spans="2:11" ht="32" x14ac:dyDescent="0.2">
      <c r="B8" s="4" t="s">
        <v>3</v>
      </c>
      <c r="C8" s="3">
        <v>1.5</v>
      </c>
      <c r="D8" s="3">
        <v>1.5</v>
      </c>
      <c r="E8" s="3">
        <v>4</v>
      </c>
      <c r="H8" s="6" t="s">
        <v>15</v>
      </c>
      <c r="I8" s="7">
        <v>0</v>
      </c>
      <c r="J8" s="7">
        <v>0</v>
      </c>
      <c r="K8" s="7">
        <f>E8*B13</f>
        <v>2000</v>
      </c>
    </row>
    <row r="9" spans="2:11" ht="32" x14ac:dyDescent="0.2">
      <c r="B9" s="13" t="s">
        <v>6</v>
      </c>
      <c r="C9" s="14"/>
      <c r="D9" s="14"/>
      <c r="E9" s="15"/>
      <c r="H9" s="6" t="s">
        <v>14</v>
      </c>
      <c r="I9" s="7">
        <f>SUM(I7:I8)</f>
        <v>170000</v>
      </c>
      <c r="J9" s="7">
        <f t="shared" ref="J9" si="0">SUM(J7:J8)</f>
        <v>255000</v>
      </c>
      <c r="K9" s="7">
        <f>SUM(K7:K8)</f>
        <v>214500</v>
      </c>
    </row>
    <row r="10" spans="2:11" x14ac:dyDescent="0.2">
      <c r="B10" s="13" t="s">
        <v>4</v>
      </c>
      <c r="C10" s="15"/>
      <c r="D10" s="13" t="s">
        <v>5</v>
      </c>
      <c r="E10" s="15"/>
    </row>
    <row r="11" spans="2:11" x14ac:dyDescent="0.2">
      <c r="B11" s="18">
        <v>800</v>
      </c>
      <c r="C11" s="19"/>
      <c r="D11" s="18">
        <v>850</v>
      </c>
      <c r="E11" s="19"/>
    </row>
    <row r="12" spans="2:11" x14ac:dyDescent="0.2">
      <c r="B12" s="17" t="s">
        <v>11</v>
      </c>
      <c r="C12" s="17"/>
      <c r="D12" s="17"/>
      <c r="E12" s="17"/>
    </row>
    <row r="13" spans="2:11" x14ac:dyDescent="0.2">
      <c r="B13" s="16">
        <v>500</v>
      </c>
      <c r="C13" s="16"/>
      <c r="D13" s="16"/>
      <c r="E13" s="16"/>
    </row>
    <row r="15" spans="2:11" x14ac:dyDescent="0.2">
      <c r="H15" s="5"/>
    </row>
    <row r="17" spans="6:7" ht="180" customHeight="1" x14ac:dyDescent="0.2">
      <c r="F17" s="11" t="s">
        <v>62</v>
      </c>
      <c r="G17" s="11"/>
    </row>
  </sheetData>
  <mergeCells count="14">
    <mergeCell ref="B4:E4"/>
    <mergeCell ref="I5:K5"/>
    <mergeCell ref="H5:H6"/>
    <mergeCell ref="H4:K4"/>
    <mergeCell ref="F17:G17"/>
    <mergeCell ref="B12:E12"/>
    <mergeCell ref="B13:E13"/>
    <mergeCell ref="B10:C10"/>
    <mergeCell ref="B9:E9"/>
    <mergeCell ref="D10:E10"/>
    <mergeCell ref="D11:E11"/>
    <mergeCell ref="B11:C11"/>
    <mergeCell ref="B5:B6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R22"/>
  <sheetViews>
    <sheetView topLeftCell="A2" workbookViewId="0">
      <selection activeCell="T5" sqref="T5"/>
    </sheetView>
  </sheetViews>
  <sheetFormatPr baseColWidth="10" defaultColWidth="8.83203125" defaultRowHeight="15" x14ac:dyDescent="0.2"/>
  <cols>
    <col min="3" max="3" width="14.5" customWidth="1"/>
    <col min="7" max="7" width="20.83203125" customWidth="1"/>
    <col min="8" max="8" width="28.1640625" customWidth="1"/>
  </cols>
  <sheetData>
    <row r="3" spans="3:18" ht="39.75" customHeight="1" x14ac:dyDescent="0.2">
      <c r="C3" s="10" t="s">
        <v>17</v>
      </c>
      <c r="D3" s="10"/>
      <c r="E3" s="5"/>
      <c r="F3" s="5"/>
      <c r="G3" s="10" t="s">
        <v>12</v>
      </c>
      <c r="H3" s="10"/>
    </row>
    <row r="4" spans="3:18" ht="60" customHeight="1" x14ac:dyDescent="0.2">
      <c r="C4" s="8" t="s">
        <v>18</v>
      </c>
      <c r="D4" s="8">
        <v>20000</v>
      </c>
      <c r="E4" s="5"/>
      <c r="F4" s="5"/>
      <c r="G4" s="8" t="s">
        <v>22</v>
      </c>
      <c r="H4" s="2">
        <f>D4*D5/100</f>
        <v>10000</v>
      </c>
      <c r="O4" s="21" t="s">
        <v>61</v>
      </c>
      <c r="P4" s="22"/>
      <c r="Q4" s="22"/>
      <c r="R4" s="23"/>
    </row>
    <row r="5" spans="3:18" ht="75" customHeight="1" x14ac:dyDescent="0.2">
      <c r="C5" s="8" t="s">
        <v>19</v>
      </c>
      <c r="D5" s="8">
        <v>50</v>
      </c>
      <c r="E5" s="5"/>
      <c r="F5" s="5"/>
      <c r="G5" s="8" t="s">
        <v>23</v>
      </c>
      <c r="H5" s="2">
        <f>H4-D7</f>
        <v>8100</v>
      </c>
    </row>
    <row r="6" spans="3:18" ht="96.75" customHeight="1" x14ac:dyDescent="0.2">
      <c r="C6" s="8" t="s">
        <v>20</v>
      </c>
      <c r="D6" s="8">
        <v>5000</v>
      </c>
      <c r="E6" s="5"/>
      <c r="F6" s="5"/>
      <c r="G6" s="8" t="s">
        <v>34</v>
      </c>
      <c r="H6" s="2">
        <f>D6-D7</f>
        <v>3100</v>
      </c>
    </row>
    <row r="7" spans="3:18" ht="92.25" customHeight="1" x14ac:dyDescent="0.2">
      <c r="C7" s="8" t="s">
        <v>21</v>
      </c>
      <c r="D7" s="8">
        <v>1900</v>
      </c>
      <c r="E7" s="5"/>
      <c r="F7" s="5"/>
      <c r="G7" s="8" t="s">
        <v>24</v>
      </c>
      <c r="H7" s="2">
        <f>D4-D6-H5</f>
        <v>6900</v>
      </c>
    </row>
    <row r="8" spans="3:18" x14ac:dyDescent="0.2">
      <c r="C8" s="5"/>
      <c r="D8" s="5"/>
      <c r="E8" s="5"/>
      <c r="F8" s="5"/>
      <c r="G8" s="5"/>
    </row>
    <row r="9" spans="3:18" x14ac:dyDescent="0.2">
      <c r="C9" s="5"/>
      <c r="D9" s="5"/>
      <c r="E9" s="5"/>
      <c r="F9" s="5"/>
      <c r="G9" s="5"/>
    </row>
    <row r="10" spans="3:18" x14ac:dyDescent="0.2">
      <c r="C10" s="5"/>
      <c r="D10" s="5"/>
      <c r="E10" s="5"/>
      <c r="F10" s="5"/>
      <c r="G10" s="5"/>
    </row>
    <row r="11" spans="3:18" x14ac:dyDescent="0.2">
      <c r="C11" s="5"/>
      <c r="D11" s="5"/>
      <c r="E11" s="5"/>
      <c r="F11" s="5"/>
      <c r="G11" s="20" t="s">
        <v>29</v>
      </c>
      <c r="H11" s="20"/>
      <c r="I11" s="20"/>
    </row>
    <row r="12" spans="3:18" x14ac:dyDescent="0.2">
      <c r="C12" s="5"/>
      <c r="D12" s="5"/>
      <c r="E12" s="5"/>
      <c r="F12" s="5"/>
    </row>
    <row r="13" spans="3:18" x14ac:dyDescent="0.2">
      <c r="C13" s="5"/>
      <c r="D13" s="5"/>
      <c r="E13" s="5"/>
      <c r="F13" s="5"/>
      <c r="H13" t="s">
        <v>25</v>
      </c>
    </row>
    <row r="14" spans="3:18" x14ac:dyDescent="0.2">
      <c r="C14" s="5"/>
      <c r="D14" s="5"/>
      <c r="E14" s="5"/>
      <c r="F14" s="5"/>
    </row>
    <row r="15" spans="3:18" x14ac:dyDescent="0.2">
      <c r="G15" s="9" t="s">
        <v>30</v>
      </c>
      <c r="H15" s="2" t="s">
        <v>26</v>
      </c>
    </row>
    <row r="16" spans="3:18" x14ac:dyDescent="0.2">
      <c r="I16" s="1" t="s">
        <v>32</v>
      </c>
    </row>
    <row r="17" spans="7:9" x14ac:dyDescent="0.2">
      <c r="H17" t="s">
        <v>27</v>
      </c>
    </row>
    <row r="18" spans="7:9" x14ac:dyDescent="0.2">
      <c r="H18" s="1" t="s">
        <v>36</v>
      </c>
    </row>
    <row r="19" spans="7:9" ht="16" x14ac:dyDescent="0.2">
      <c r="G19" s="8" t="s">
        <v>28</v>
      </c>
      <c r="I19" t="s">
        <v>35</v>
      </c>
    </row>
    <row r="20" spans="7:9" x14ac:dyDescent="0.2">
      <c r="G20" s="9" t="s">
        <v>33</v>
      </c>
    </row>
    <row r="22" spans="7:9" x14ac:dyDescent="0.2">
      <c r="G22" s="20" t="s">
        <v>31</v>
      </c>
      <c r="H22" s="20"/>
      <c r="I22" s="20"/>
    </row>
  </sheetData>
  <mergeCells count="5">
    <mergeCell ref="C3:D3"/>
    <mergeCell ref="G3:H3"/>
    <mergeCell ref="G11:I11"/>
    <mergeCell ref="G22:I22"/>
    <mergeCell ref="O4:R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16"/>
  <sheetViews>
    <sheetView workbookViewId="0">
      <selection activeCell="G16" sqref="G16"/>
    </sheetView>
  </sheetViews>
  <sheetFormatPr baseColWidth="10" defaultColWidth="8.83203125" defaultRowHeight="15" x14ac:dyDescent="0.2"/>
  <cols>
    <col min="2" max="2" width="37.83203125" customWidth="1"/>
    <col min="3" max="3" width="38" customWidth="1"/>
    <col min="6" max="6" width="23.5" customWidth="1"/>
    <col min="7" max="7" width="18.5" customWidth="1"/>
    <col min="10" max="10" width="18.5" customWidth="1"/>
    <col min="11" max="11" width="19" customWidth="1"/>
    <col min="12" max="12" width="28.5" customWidth="1"/>
  </cols>
  <sheetData>
    <row r="3" spans="2:12" ht="95.25" customHeight="1" x14ac:dyDescent="0.2">
      <c r="B3" s="10" t="s">
        <v>58</v>
      </c>
      <c r="C3" s="10"/>
      <c r="F3" s="11" t="s">
        <v>59</v>
      </c>
      <c r="G3" s="11"/>
      <c r="J3" s="12" t="s">
        <v>60</v>
      </c>
      <c r="K3" s="12"/>
      <c r="L3" s="12"/>
    </row>
    <row r="4" spans="2:12" ht="52.5" customHeight="1" x14ac:dyDescent="0.2">
      <c r="B4" s="7" t="s">
        <v>37</v>
      </c>
      <c r="C4" s="7" t="s">
        <v>38</v>
      </c>
      <c r="F4" s="7" t="s">
        <v>37</v>
      </c>
      <c r="G4" s="7" t="s">
        <v>38</v>
      </c>
      <c r="J4" s="12"/>
      <c r="K4" s="12"/>
      <c r="L4" s="12"/>
    </row>
    <row r="5" spans="2:12" ht="16" x14ac:dyDescent="0.2">
      <c r="B5" s="7" t="s">
        <v>39</v>
      </c>
      <c r="C5" s="7">
        <v>8000</v>
      </c>
      <c r="F5" s="7" t="s">
        <v>39</v>
      </c>
      <c r="G5" s="7">
        <v>8000</v>
      </c>
    </row>
    <row r="6" spans="2:12" ht="32" x14ac:dyDescent="0.2">
      <c r="B6" s="7" t="s">
        <v>40</v>
      </c>
      <c r="C6" s="7">
        <v>90</v>
      </c>
      <c r="F6" s="7" t="s">
        <v>51</v>
      </c>
      <c r="G6" s="7">
        <f>247/(G5/C6)</f>
        <v>2.7787500000000001</v>
      </c>
    </row>
    <row r="7" spans="2:12" ht="16" x14ac:dyDescent="0.2">
      <c r="B7" s="7" t="s">
        <v>41</v>
      </c>
      <c r="C7" s="7">
        <v>10</v>
      </c>
      <c r="F7" s="7" t="s">
        <v>41</v>
      </c>
      <c r="G7" s="7">
        <v>10</v>
      </c>
    </row>
    <row r="8" spans="2:12" ht="32" x14ac:dyDescent="0.2">
      <c r="B8" s="7" t="s">
        <v>42</v>
      </c>
      <c r="C8" s="7">
        <v>4</v>
      </c>
      <c r="F8" s="7" t="s">
        <v>42</v>
      </c>
      <c r="G8" s="7">
        <v>4</v>
      </c>
    </row>
    <row r="9" spans="2:12" ht="32" x14ac:dyDescent="0.2">
      <c r="B9" s="7" t="s">
        <v>43</v>
      </c>
      <c r="C9" s="7">
        <f>C5/247</f>
        <v>32.388663967611336</v>
      </c>
      <c r="F9" s="7" t="s">
        <v>43</v>
      </c>
      <c r="G9" s="7">
        <f>G5/247</f>
        <v>32.388663967611336</v>
      </c>
    </row>
    <row r="10" spans="2:12" ht="32" x14ac:dyDescent="0.2">
      <c r="B10" s="7" t="s">
        <v>44</v>
      </c>
      <c r="C10" s="7">
        <f>C6/C9</f>
        <v>2.7787500000000001</v>
      </c>
      <c r="F10" s="7" t="s">
        <v>52</v>
      </c>
      <c r="G10" s="7">
        <f>G7*G9</f>
        <v>323.88663967611336</v>
      </c>
    </row>
    <row r="11" spans="2:12" ht="48" x14ac:dyDescent="0.2">
      <c r="B11" s="7" t="s">
        <v>45</v>
      </c>
      <c r="C11" s="7">
        <f>C7*C9</f>
        <v>323.88663967611336</v>
      </c>
      <c r="F11" s="7" t="s">
        <v>53</v>
      </c>
      <c r="G11" s="7">
        <f>(G7+G8)*G9</f>
        <v>453.44129554655871</v>
      </c>
    </row>
    <row r="12" spans="2:12" ht="32" x14ac:dyDescent="0.2">
      <c r="B12" s="7" t="s">
        <v>46</v>
      </c>
      <c r="C12" s="7">
        <f>(C7+C8)*C9</f>
        <v>453.44129554655871</v>
      </c>
      <c r="F12" s="7" t="s">
        <v>54</v>
      </c>
      <c r="G12" s="7">
        <f>G11-G10</f>
        <v>129.55465587044534</v>
      </c>
    </row>
    <row r="13" spans="2:12" ht="16" x14ac:dyDescent="0.2">
      <c r="B13" s="7" t="s">
        <v>47</v>
      </c>
      <c r="C13" s="7">
        <f>C12-C11</f>
        <v>129.55465587044534</v>
      </c>
      <c r="F13" s="7" t="s">
        <v>55</v>
      </c>
      <c r="G13" s="7">
        <f>G12</f>
        <v>129.55465587044534</v>
      </c>
    </row>
    <row r="14" spans="2:12" ht="32" x14ac:dyDescent="0.2">
      <c r="B14" s="7" t="s">
        <v>48</v>
      </c>
      <c r="C14" s="7">
        <f>C13+C11</f>
        <v>453.44129554655871</v>
      </c>
      <c r="F14" s="7" t="s">
        <v>56</v>
      </c>
      <c r="G14" s="7">
        <f>G12+(G6*G9)</f>
        <v>219.55465587044534</v>
      </c>
    </row>
    <row r="15" spans="2:12" ht="16" x14ac:dyDescent="0.2">
      <c r="B15" s="7" t="s">
        <v>49</v>
      </c>
      <c r="C15" s="7">
        <f>C13+C6</f>
        <v>219.55465587044534</v>
      </c>
      <c r="F15" s="7" t="s">
        <v>57</v>
      </c>
      <c r="G15" s="7">
        <f>G11+G13</f>
        <v>582.99595141700411</v>
      </c>
    </row>
    <row r="16" spans="2:12" ht="32" x14ac:dyDescent="0.2">
      <c r="B16" s="7" t="s">
        <v>50</v>
      </c>
      <c r="C16" s="7">
        <f>(C14-C15)/C9</f>
        <v>7.2212500000000004</v>
      </c>
    </row>
  </sheetData>
  <mergeCells count="3">
    <mergeCell ref="B3:C3"/>
    <mergeCell ref="F3:G3"/>
    <mergeCell ref="J3:L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B680-0F18-4145-B66B-D9D212E01A2B}">
  <dimension ref="B1:D32"/>
  <sheetViews>
    <sheetView workbookViewId="0">
      <selection activeCell="E5" sqref="E5"/>
    </sheetView>
  </sheetViews>
  <sheetFormatPr baseColWidth="10" defaultColWidth="8.83203125" defaultRowHeight="15" x14ac:dyDescent="0.2"/>
  <cols>
    <col min="2" max="2" width="27.83203125" customWidth="1"/>
    <col min="3" max="3" width="20.33203125" customWidth="1"/>
    <col min="4" max="4" width="21.83203125" customWidth="1"/>
  </cols>
  <sheetData>
    <row r="1" spans="2:4" x14ac:dyDescent="0.2">
      <c r="B1" s="35" t="s">
        <v>84</v>
      </c>
      <c r="C1" s="35"/>
    </row>
    <row r="2" spans="2:4" x14ac:dyDescent="0.2">
      <c r="D2" s="24"/>
    </row>
    <row r="3" spans="2:4" x14ac:dyDescent="0.2">
      <c r="B3" s="24"/>
      <c r="C3" s="24"/>
      <c r="D3" s="24"/>
    </row>
    <row r="4" spans="2:4" x14ac:dyDescent="0.2">
      <c r="B4" s="33" t="s">
        <v>83</v>
      </c>
      <c r="C4" s="33"/>
      <c r="D4" s="24"/>
    </row>
    <row r="5" spans="2:4" x14ac:dyDescent="0.2">
      <c r="B5" s="26" t="s">
        <v>37</v>
      </c>
      <c r="C5" s="26" t="s">
        <v>38</v>
      </c>
      <c r="D5" s="24"/>
    </row>
    <row r="6" spans="2:4" x14ac:dyDescent="0.2">
      <c r="B6" s="34" t="s">
        <v>82</v>
      </c>
      <c r="C6" s="26">
        <v>40</v>
      </c>
      <c r="D6" s="24"/>
    </row>
    <row r="7" spans="2:4" ht="30" x14ac:dyDescent="0.2">
      <c r="B7" s="34" t="s">
        <v>81</v>
      </c>
      <c r="C7" s="26">
        <v>10</v>
      </c>
      <c r="D7" s="24"/>
    </row>
    <row r="8" spans="2:4" x14ac:dyDescent="0.2">
      <c r="B8" s="24"/>
      <c r="C8" s="24"/>
      <c r="D8" s="24"/>
    </row>
    <row r="9" spans="2:4" x14ac:dyDescent="0.2">
      <c r="B9" s="33" t="s">
        <v>80</v>
      </c>
      <c r="C9" s="33"/>
      <c r="D9" s="33"/>
    </row>
    <row r="10" spans="2:4" ht="30" x14ac:dyDescent="0.2">
      <c r="B10" s="28" t="s">
        <v>76</v>
      </c>
      <c r="C10" s="28" t="s">
        <v>79</v>
      </c>
      <c r="D10" s="28" t="s">
        <v>78</v>
      </c>
    </row>
    <row r="11" spans="2:4" x14ac:dyDescent="0.2">
      <c r="B11" s="32" t="s">
        <v>75</v>
      </c>
      <c r="C11" s="28">
        <v>10</v>
      </c>
      <c r="D11" s="28">
        <v>2</v>
      </c>
    </row>
    <row r="12" spans="2:4" x14ac:dyDescent="0.2">
      <c r="B12" s="32" t="s">
        <v>74</v>
      </c>
      <c r="C12" s="28">
        <v>10</v>
      </c>
      <c r="D12" s="28">
        <v>1</v>
      </c>
    </row>
    <row r="13" spans="2:4" x14ac:dyDescent="0.2">
      <c r="B13" s="32" t="s">
        <v>73</v>
      </c>
      <c r="C13" s="28">
        <v>4</v>
      </c>
      <c r="D13" s="28">
        <v>1</v>
      </c>
    </row>
    <row r="14" spans="2:4" x14ac:dyDescent="0.2">
      <c r="B14" s="32" t="s">
        <v>72</v>
      </c>
      <c r="C14" s="28">
        <v>6</v>
      </c>
      <c r="D14" s="28">
        <v>1</v>
      </c>
    </row>
    <row r="15" spans="2:4" x14ac:dyDescent="0.2">
      <c r="B15" s="24"/>
      <c r="C15" s="24"/>
      <c r="D15" s="24"/>
    </row>
    <row r="16" spans="2:4" x14ac:dyDescent="0.2">
      <c r="B16" s="31" t="s">
        <v>77</v>
      </c>
      <c r="C16" s="31"/>
      <c r="D16" s="24"/>
    </row>
    <row r="17" spans="2:4" x14ac:dyDescent="0.2">
      <c r="B17" s="26" t="s">
        <v>76</v>
      </c>
      <c r="C17" s="26" t="s">
        <v>67</v>
      </c>
      <c r="D17" s="24"/>
    </row>
    <row r="18" spans="2:4" x14ac:dyDescent="0.2">
      <c r="B18" s="27" t="s">
        <v>75</v>
      </c>
      <c r="C18" s="26">
        <f>C11/D11</f>
        <v>5</v>
      </c>
      <c r="D18" s="24"/>
    </row>
    <row r="19" spans="2:4" x14ac:dyDescent="0.2">
      <c r="B19" s="27" t="s">
        <v>74</v>
      </c>
      <c r="C19" s="26">
        <f>C12/D12</f>
        <v>10</v>
      </c>
      <c r="D19" s="24"/>
    </row>
    <row r="20" spans="2:4" x14ac:dyDescent="0.2">
      <c r="B20" s="27" t="s">
        <v>73</v>
      </c>
      <c r="C20" s="26">
        <f>C13/D13</f>
        <v>4</v>
      </c>
      <c r="D20" s="24"/>
    </row>
    <row r="21" spans="2:4" x14ac:dyDescent="0.2">
      <c r="B21" s="27" t="s">
        <v>72</v>
      </c>
      <c r="C21" s="26">
        <f>C14/D14</f>
        <v>6</v>
      </c>
      <c r="D21" s="24"/>
    </row>
    <row r="22" spans="2:4" ht="16" x14ac:dyDescent="0.2">
      <c r="B22" s="30" t="s">
        <v>71</v>
      </c>
      <c r="C22" s="26">
        <f>SUM(C18:C21)</f>
        <v>25</v>
      </c>
      <c r="D22" s="24"/>
    </row>
    <row r="23" spans="2:4" ht="31" x14ac:dyDescent="0.2">
      <c r="B23" s="30" t="s">
        <v>70</v>
      </c>
      <c r="C23" s="26">
        <f>C18+C20+C20</f>
        <v>13</v>
      </c>
      <c r="D23" s="24"/>
    </row>
    <row r="24" spans="2:4" x14ac:dyDescent="0.2">
      <c r="B24" s="24"/>
      <c r="C24" s="24"/>
      <c r="D24" s="24"/>
    </row>
    <row r="25" spans="2:4" x14ac:dyDescent="0.2">
      <c r="B25" s="29" t="s">
        <v>69</v>
      </c>
      <c r="C25" s="29"/>
      <c r="D25" s="24"/>
    </row>
    <row r="26" spans="2:4" ht="30" x14ac:dyDescent="0.2">
      <c r="B26" s="28" t="s">
        <v>68</v>
      </c>
      <c r="C26" s="26" t="s">
        <v>67</v>
      </c>
      <c r="D26" s="24"/>
    </row>
    <row r="27" spans="2:4" x14ac:dyDescent="0.2">
      <c r="B27" s="27" t="s">
        <v>66</v>
      </c>
      <c r="C27" s="26">
        <f>C6*C22</f>
        <v>1000</v>
      </c>
      <c r="D27" s="24"/>
    </row>
    <row r="28" spans="2:4" x14ac:dyDescent="0.2">
      <c r="B28" s="27" t="s">
        <v>65</v>
      </c>
      <c r="C28" s="26">
        <f>(C6-C7)*C19+C7*C22</f>
        <v>550</v>
      </c>
      <c r="D28" s="24"/>
    </row>
    <row r="29" spans="2:4" x14ac:dyDescent="0.2">
      <c r="B29" s="27" t="s">
        <v>64</v>
      </c>
      <c r="C29" s="26">
        <f>C22*C6-(C6-C7)*C23</f>
        <v>610</v>
      </c>
      <c r="D29" s="24"/>
    </row>
    <row r="30" spans="2:4" x14ac:dyDescent="0.2">
      <c r="B30" s="24"/>
      <c r="C30" s="24"/>
      <c r="D30" s="24"/>
    </row>
    <row r="31" spans="2:4" x14ac:dyDescent="0.2">
      <c r="B31" s="25" t="s">
        <v>63</v>
      </c>
      <c r="C31" s="25"/>
      <c r="D31" s="24"/>
    </row>
    <row r="32" spans="2:4" x14ac:dyDescent="0.2">
      <c r="B32" s="25"/>
      <c r="C32" s="25"/>
      <c r="D32" s="24"/>
    </row>
  </sheetData>
  <mergeCells count="6">
    <mergeCell ref="B31:C32"/>
    <mergeCell ref="B1:C1"/>
    <mergeCell ref="B4:C4"/>
    <mergeCell ref="B9:D9"/>
    <mergeCell ref="B16:C16"/>
    <mergeCell ref="B25:C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C51A-687D-5047-B02F-001E0CE59907}">
  <dimension ref="B1:G13"/>
  <sheetViews>
    <sheetView tabSelected="1" workbookViewId="0">
      <selection activeCell="B1" sqref="B1:C1"/>
    </sheetView>
  </sheetViews>
  <sheetFormatPr baseColWidth="10" defaultColWidth="8.83203125" defaultRowHeight="15" x14ac:dyDescent="0.2"/>
  <cols>
    <col min="2" max="3" width="39.33203125" customWidth="1"/>
    <col min="6" max="6" width="31" customWidth="1"/>
    <col min="7" max="7" width="19.33203125" customWidth="1"/>
  </cols>
  <sheetData>
    <row r="1" spans="2:7" x14ac:dyDescent="0.2">
      <c r="B1" s="35" t="s">
        <v>100</v>
      </c>
      <c r="C1" s="35"/>
      <c r="D1" s="24"/>
      <c r="E1" s="24"/>
      <c r="F1" s="24"/>
      <c r="G1" s="24"/>
    </row>
    <row r="2" spans="2:7" x14ac:dyDescent="0.2">
      <c r="B2" s="24"/>
      <c r="C2" s="24"/>
      <c r="D2" s="24"/>
      <c r="E2" s="24"/>
      <c r="F2" s="24"/>
      <c r="G2" s="24"/>
    </row>
    <row r="3" spans="2:7" x14ac:dyDescent="0.2">
      <c r="B3" s="40" t="s">
        <v>83</v>
      </c>
      <c r="C3" s="40"/>
      <c r="D3" s="24"/>
      <c r="E3" s="24"/>
      <c r="F3" s="31" t="s">
        <v>99</v>
      </c>
      <c r="G3" s="31"/>
    </row>
    <row r="4" spans="2:7" x14ac:dyDescent="0.2">
      <c r="B4" s="39" t="s">
        <v>37</v>
      </c>
      <c r="C4" s="39" t="s">
        <v>98</v>
      </c>
      <c r="D4" s="24"/>
      <c r="E4" s="24"/>
      <c r="F4" s="26" t="s">
        <v>37</v>
      </c>
      <c r="G4" s="26" t="s">
        <v>98</v>
      </c>
    </row>
    <row r="5" spans="2:7" ht="31" x14ac:dyDescent="0.2">
      <c r="B5" s="38" t="s">
        <v>97</v>
      </c>
      <c r="C5" s="37">
        <v>1000</v>
      </c>
      <c r="D5" s="24"/>
      <c r="E5" s="24"/>
      <c r="F5" s="32" t="s">
        <v>96</v>
      </c>
      <c r="G5" s="26">
        <f>C5*C6</f>
        <v>30000</v>
      </c>
    </row>
    <row r="6" spans="2:7" ht="31" x14ac:dyDescent="0.2">
      <c r="B6" s="38" t="s">
        <v>95</v>
      </c>
      <c r="C6" s="37">
        <v>30</v>
      </c>
      <c r="D6" s="24"/>
      <c r="E6" s="24"/>
      <c r="F6" s="32" t="s">
        <v>94</v>
      </c>
      <c r="G6" s="26">
        <f>G5*C7</f>
        <v>3000000</v>
      </c>
    </row>
    <row r="7" spans="2:7" ht="61" x14ac:dyDescent="0.2">
      <c r="B7" s="38" t="s">
        <v>93</v>
      </c>
      <c r="C7" s="37">
        <v>100</v>
      </c>
      <c r="D7" s="24"/>
      <c r="E7" s="24"/>
      <c r="F7" s="32" t="s">
        <v>92</v>
      </c>
      <c r="G7" s="26">
        <f>G5*C9</f>
        <v>27000000</v>
      </c>
    </row>
    <row r="8" spans="2:7" ht="30" x14ac:dyDescent="0.2">
      <c r="B8" s="38" t="s">
        <v>91</v>
      </c>
      <c r="C8" s="37">
        <v>1800000</v>
      </c>
      <c r="D8" s="24"/>
      <c r="E8" s="24"/>
      <c r="F8" s="32" t="s">
        <v>90</v>
      </c>
      <c r="G8" s="26">
        <f>C10*C11*G5</f>
        <v>10500000</v>
      </c>
    </row>
    <row r="9" spans="2:7" ht="31" x14ac:dyDescent="0.2">
      <c r="B9" s="38" t="s">
        <v>89</v>
      </c>
      <c r="C9" s="37">
        <v>900</v>
      </c>
      <c r="D9" s="24"/>
      <c r="E9" s="24"/>
      <c r="F9" s="32" t="s">
        <v>88</v>
      </c>
      <c r="G9" s="26">
        <f>SUM(G7:G8)</f>
        <v>37500000</v>
      </c>
    </row>
    <row r="10" spans="2:7" ht="46" x14ac:dyDescent="0.2">
      <c r="B10" s="38" t="s">
        <v>87</v>
      </c>
      <c r="C10" s="37">
        <v>5</v>
      </c>
      <c r="D10" s="24"/>
      <c r="E10" s="24"/>
      <c r="F10" s="24"/>
      <c r="G10" s="24"/>
    </row>
    <row r="11" spans="2:7" ht="16" x14ac:dyDescent="0.2">
      <c r="B11" s="38" t="s">
        <v>86</v>
      </c>
      <c r="C11" s="37">
        <v>70</v>
      </c>
      <c r="D11" s="24"/>
      <c r="E11" s="24"/>
      <c r="F11" s="24"/>
      <c r="G11" s="24"/>
    </row>
    <row r="12" spans="2:7" x14ac:dyDescent="0.2">
      <c r="B12" s="24"/>
      <c r="C12" s="24"/>
      <c r="D12" s="24"/>
      <c r="E12" s="24"/>
      <c r="F12" s="36" t="s">
        <v>85</v>
      </c>
      <c r="G12" s="36"/>
    </row>
    <row r="13" spans="2:7" ht="114" customHeight="1" x14ac:dyDescent="0.2">
      <c r="B13" s="24"/>
      <c r="C13" s="24"/>
      <c r="D13" s="24"/>
      <c r="E13" s="24"/>
      <c r="F13" s="36"/>
      <c r="G13" s="36"/>
    </row>
  </sheetData>
  <mergeCells count="4">
    <mergeCell ref="B1:C1"/>
    <mergeCell ref="B3:C3"/>
    <mergeCell ref="F3:G3"/>
    <mergeCell ref="F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Модуль 1 Задача 1</vt:lpstr>
      <vt:lpstr>Модуль 1 Задача 2</vt:lpstr>
      <vt:lpstr>Модуль 1 Задача 3</vt:lpstr>
      <vt:lpstr>Модуль 2 Задание 1 </vt:lpstr>
      <vt:lpstr>Модуль 2 Задание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2026-06-01T13:34:57Z</dcterms:modified>
</cp:coreProperties>
</file>